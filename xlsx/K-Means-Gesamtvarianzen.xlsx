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s\js\data-analytics\xlsx\"/>
    </mc:Choice>
  </mc:AlternateContent>
  <xr:revisionPtr revIDLastSave="0" documentId="13_ncr:1_{8C935335-E72A-444C-9564-5BCBF05E154F}" xr6:coauthVersionLast="36" xr6:coauthVersionMax="47" xr10:uidLastSave="{00000000-0000-0000-0000-000000000000}"/>
  <bookViews>
    <workbookView xWindow="-105" yWindow="-105" windowWidth="25815" windowHeight="15495" xr2:uid="{594120D6-E769-4B59-9621-52AF95EF868F}"/>
  </bookViews>
  <sheets>
    <sheet name="Tabelle1" sheetId="1" r:id="rId1"/>
  </sheets>
  <definedNames>
    <definedName name="x_0">Tabelle1!$E$6</definedName>
    <definedName name="x_1">Tabelle1!$E$4</definedName>
    <definedName name="x_2">Tabelle1!$E$5</definedName>
    <definedName name="y_0">Tabelle1!$G$6</definedName>
    <definedName name="y_1">Tabelle1!$G$4</definedName>
    <definedName name="y_2">Tabelle1!$G$5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4" i="1"/>
  <c r="F4" i="1"/>
  <c r="F5" i="1"/>
  <c r="E6" i="1"/>
  <c r="F6" i="1" s="1"/>
  <c r="G6" i="1" s="1"/>
  <c r="E4" i="1"/>
  <c r="E5" i="1"/>
  <c r="E7" i="1" l="1"/>
  <c r="G7" i="1"/>
  <c r="F7" i="1" s="1"/>
</calcChain>
</file>

<file path=xl/sharedStrings.xml><?xml version="1.0" encoding="utf-8"?>
<sst xmlns="http://schemas.openxmlformats.org/spreadsheetml/2006/main" count="7" uniqueCount="6">
  <si>
    <t>Anzahl Cluster</t>
  </si>
  <si>
    <t>Gesamtvarianz</t>
  </si>
  <si>
    <t>Erster Punkt</t>
  </si>
  <si>
    <t>Letzter Punkt</t>
  </si>
  <si>
    <t>L-Punkt</t>
  </si>
  <si>
    <t>Projektion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</si>
</sst>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Tabelle1!$A$1</c:f>
              <c:strCache>
                <c:ptCount val="1"/>
                <c:pt idx="0">
                  <c:v>Anzahl Cluster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Tabelle1!$A$2:$A$11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Tabelle1!$B$2:$B$11</c:f>
              <c:numCache>
                <c:formatCode>#,##0.000</c:formatCode>
                <c:ptCount val="10"/>
                <c:pt idx="0">
                  <c:v>23087898.77</c:v>
                </c:pt>
                <c:pt idx="1">
                  <c:v>12458718.939999999</c:v>
                </c:pt>
                <c:pt idx="2">
                  <c:v>8320307.3600000003</c:v>
                </c:pt>
                <c:pt idx="3">
                  <c:v>5963366.0300000003</c:v>
                </c:pt>
                <c:pt idx="4">
                  <c:v>5024560.7699999996</c:v>
                </c:pt>
                <c:pt idx="5">
                  <c:v>3722267.13</c:v>
                </c:pt>
                <c:pt idx="6">
                  <c:v>3249058.81</c:v>
                </c:pt>
                <c:pt idx="7">
                  <c:v>2944016.03</c:v>
                </c:pt>
                <c:pt idx="8">
                  <c:v>2390792.2000000002</c:v>
                </c:pt>
                <c:pt idx="9">
                  <c:v>2163730.56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43-4356-AA4C-310D634EC2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(Tabelle1!$E$4,Tabelle1!$E$5)</c:f>
              <c:numCache>
                <c:formatCode>#,##0.000</c:formatCode>
                <c:ptCount val="2"/>
                <c:pt idx="0">
                  <c:v>1</c:v>
                </c:pt>
                <c:pt idx="1">
                  <c:v>10</c:v>
                </c:pt>
              </c:numCache>
            </c:numRef>
          </c:xVal>
          <c:yVal>
            <c:numRef>
              <c:f>(Tabelle1!$F$4,Tabelle1!$F$5)</c:f>
              <c:numCache>
                <c:formatCode>#,##0.000</c:formatCode>
                <c:ptCount val="2"/>
                <c:pt idx="0">
                  <c:v>23087898.77</c:v>
                </c:pt>
                <c:pt idx="1">
                  <c:v>2163730.56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C-4F84-98DE-18969DB9A54D}"/>
            </c:ext>
          </c:extLst>
        </c:ser>
        <c:ser>
          <c:idx val="2"/>
          <c:order val="2"/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(Tabelle1!$E$6,Tabelle1!$E$7)</c:f>
              <c:numCache>
                <c:formatCode>#,##0.000</c:formatCode>
                <c:ptCount val="2"/>
                <c:pt idx="0">
                  <c:v>4</c:v>
                </c:pt>
                <c:pt idx="1">
                  <c:v>6.3394017269262717</c:v>
                </c:pt>
              </c:numCache>
            </c:numRef>
          </c:xVal>
          <c:yVal>
            <c:numRef>
              <c:f>(Tabelle1!$F$6,Tabelle1!$F$7)</c:f>
              <c:numCache>
                <c:formatCode>#,##0.000</c:formatCode>
                <c:ptCount val="2"/>
                <c:pt idx="0">
                  <c:v>5963366.0300000003</c:v>
                </c:pt>
                <c:pt idx="1">
                  <c:v>10674283.228336688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3C-4F84-98DE-18969DB9A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87920"/>
        <c:axId val="341887440"/>
      </c:scatterChart>
      <c:valAx>
        <c:axId val="34188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1887440"/>
        <c:crosses val="autoZero"/>
        <c:crossBetween val="midCat"/>
      </c:valAx>
      <c:valAx>
        <c:axId val="3418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41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24175</xdr:colOff>
      <xdr:row>8</xdr:row>
      <xdr:rowOff>72780</xdr:rowOff>
    </xdr:from>
    <xdr:to>
      <xdr:col>9</xdr:col>
      <xdr:colOff>476250</xdr:colOff>
      <xdr:row>34</xdr:row>
      <xdr:rowOff>29308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5A073ED-2023-2412-6F89-E66808785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693-235A-446F-8547-BB71F0EF194D}">
  <dimension ref="A1:G11"/>
  <sheetViews>
    <sheetView tabSelected="1" zoomScaleNormal="100" workbookViewId="0"/>
  </sheetViews>
  <sheetFormatPr baseColWidth="10" defaultRowHeight="15"/>
  <cols>
    <col min="1" max="1" width="12.75" style="3" bestFit="1" customWidth="1"/>
    <col min="2" max="2" width="17.625" style="4" customWidth="1"/>
    <col min="4" max="4" width="11.625" bestFit="1" customWidth="1"/>
    <col min="5" max="5" width="11" style="1"/>
    <col min="6" max="6" width="17.625" style="2" customWidth="1"/>
    <col min="7" max="7" width="11" style="2"/>
    <col min="9" max="9" width="11" customWidth="1"/>
  </cols>
  <sheetData>
    <row r="1" spans="1:7" ht="14.25">
      <c r="A1" s="1" t="s">
        <v>0</v>
      </c>
      <c r="B1" s="5" t="s">
        <v>1</v>
      </c>
    </row>
    <row r="2" spans="1:7">
      <c r="A2" s="3">
        <v>1</v>
      </c>
      <c r="B2" s="4">
        <v>23087898.77</v>
      </c>
      <c r="D2" t="s">
        <v>4</v>
      </c>
      <c r="E2" s="3">
        <v>4</v>
      </c>
    </row>
    <row r="3" spans="1:7">
      <c r="A3" s="3">
        <v>2</v>
      </c>
      <c r="B3" s="4">
        <v>12458718.939999999</v>
      </c>
    </row>
    <row r="4" spans="1:7">
      <c r="A4" s="3">
        <v>3</v>
      </c>
      <c r="B4" s="4">
        <v>8320307.3600000003</v>
      </c>
      <c r="D4" t="s">
        <v>2</v>
      </c>
      <c r="E4" s="2">
        <f>MIN($A$2:$A$1000)</f>
        <v>1</v>
      </c>
      <c r="F4" s="2">
        <f>INDEX($B$2:$B$1000,E4)</f>
        <v>23087898.77</v>
      </c>
      <c r="G4" s="2">
        <f>F4/$F$5</f>
        <v>10.670413034236573</v>
      </c>
    </row>
    <row r="5" spans="1:7">
      <c r="A5" s="3">
        <v>4</v>
      </c>
      <c r="B5" s="4">
        <v>5963366.0300000003</v>
      </c>
      <c r="D5" t="s">
        <v>3</v>
      </c>
      <c r="E5" s="2">
        <f>MAX($A$2:$A$1000)</f>
        <v>10</v>
      </c>
      <c r="F5" s="2">
        <f>INDEX($B$2:$B$1000,E5)</f>
        <v>2163730.56</v>
      </c>
      <c r="G5" s="2">
        <f>F5/$F$5</f>
        <v>1</v>
      </c>
    </row>
    <row r="6" spans="1:7">
      <c r="A6" s="3">
        <v>5</v>
      </c>
      <c r="B6" s="4">
        <v>5024560.7699999996</v>
      </c>
      <c r="D6" t="s">
        <v>4</v>
      </c>
      <c r="E6" s="2">
        <f>INDEX($A$2:$A$1000,E2)</f>
        <v>4</v>
      </c>
      <c r="F6" s="2">
        <f>INDEX($B$2:$B$1000,E6)</f>
        <v>5963366.0300000003</v>
      </c>
      <c r="G6" s="2">
        <f>F6/$F$5</f>
        <v>2.7560575887970082</v>
      </c>
    </row>
    <row r="7" spans="1:7">
      <c r="A7" s="3">
        <v>6</v>
      </c>
      <c r="B7" s="4">
        <v>3722267.13</v>
      </c>
      <c r="D7" t="s">
        <v>5</v>
      </c>
      <c r="E7" s="2">
        <f>x_1 + ((x_0 - x_1) * (x_2 - x_1) + (y_0 - y_1) * (y_2 - y_1)) / ((x_2 - x_1) * (x_2 - x_1) + (y_2 - y_1) * (y_2 - y_1)) * (x_2 - x_1)</f>
        <v>6.3394017269262717</v>
      </c>
      <c r="F7" s="2">
        <f>G7*$F$5</f>
        <v>10674283.228336688</v>
      </c>
      <c r="G7" s="2">
        <f>y_1 + ((x_0 - x_1) * (x_2 - x_1) + (y_0 - y_1) * (y_2 - y_1)) / ((x_2 - x_1) * (x_2 - x_1) + (y_2 - y_1) * (y_2 - y_1)) * (y_2 - y_1)</f>
        <v>4.9332774725595634</v>
      </c>
    </row>
    <row r="8" spans="1:7">
      <c r="A8" s="3">
        <v>7</v>
      </c>
      <c r="B8" s="4">
        <v>3249058.81</v>
      </c>
    </row>
    <row r="9" spans="1:7">
      <c r="A9" s="3">
        <v>8</v>
      </c>
      <c r="B9" s="4">
        <v>2944016.03</v>
      </c>
    </row>
    <row r="10" spans="1:7">
      <c r="A10" s="3">
        <v>9</v>
      </c>
      <c r="B10" s="4">
        <v>2390792.2000000002</v>
      </c>
    </row>
    <row r="11" spans="1:7">
      <c r="A11" s="3">
        <v>10</v>
      </c>
      <c r="B11" s="4">
        <v>2163730.56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Tabelle1</vt:lpstr>
      <vt:lpstr>x_0</vt:lpstr>
      <vt:lpstr>x_1</vt:lpstr>
      <vt:lpstr>x_2</vt:lpstr>
      <vt:lpstr>y_0</vt:lpstr>
      <vt:lpstr>y_1</vt:lpstr>
      <vt:lpstr>y_2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Färber, Markus, Prof. Dr.-Ing.</dc:creator>
  <cp:lastModifiedBy>m</cp:lastModifiedBy>
  <dcterms:created xsi:type="dcterms:W3CDTF">2026-05-12T10:48:53Z</dcterms:created>
  <dcterms:modified xsi:type="dcterms:W3CDTF">2026-06-12T16:27:59Z</dcterms:modified>
</cp:coreProperties>
</file>